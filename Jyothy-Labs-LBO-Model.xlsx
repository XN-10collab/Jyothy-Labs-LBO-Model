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erxes Naik\Desktop\"/>
    </mc:Choice>
  </mc:AlternateContent>
  <xr:revisionPtr revIDLastSave="0" documentId="8_{211D47BF-D486-450F-BBC8-4A9D230CC9F5}" xr6:coauthVersionLast="47" xr6:coauthVersionMax="47" xr10:uidLastSave="{00000000-0000-0000-0000-000000000000}"/>
  <bookViews>
    <workbookView xWindow="-110" yWindow="-110" windowWidth="19420" windowHeight="10300" xr2:uid="{99F23C2B-5951-484F-B7FA-2954C042B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E33" i="1"/>
  <c r="D33" i="1"/>
  <c r="D34" i="1" s="1"/>
  <c r="D29" i="1"/>
  <c r="D36" i="1"/>
  <c r="D32" i="1"/>
  <c r="C35" i="1"/>
  <c r="E26" i="1"/>
  <c r="F26" i="1"/>
  <c r="G26" i="1"/>
  <c r="H25" i="1"/>
  <c r="D25" i="1"/>
  <c r="E23" i="1"/>
  <c r="E22" i="1"/>
  <c r="F22" i="1"/>
  <c r="G22" i="1"/>
  <c r="H22" i="1"/>
  <c r="C22" i="1"/>
  <c r="C21" i="1"/>
  <c r="D21" i="1" s="1"/>
  <c r="E21" i="1" s="1"/>
  <c r="F21" i="1" s="1"/>
  <c r="G21" i="1" s="1"/>
  <c r="H21" i="1" s="1"/>
  <c r="H26" i="1" s="1"/>
  <c r="B16" i="1"/>
  <c r="B15" i="1"/>
  <c r="B17" i="1" s="1"/>
  <c r="D35" i="1" l="1"/>
  <c r="E32" i="1" s="1"/>
  <c r="E36" i="1" s="1"/>
  <c r="E29" i="1" s="1"/>
  <c r="G25" i="1"/>
  <c r="D23" i="1"/>
  <c r="F25" i="1"/>
  <c r="G23" i="1"/>
  <c r="D26" i="1"/>
  <c r="H23" i="1"/>
  <c r="E25" i="1"/>
  <c r="E30" i="1" s="1"/>
  <c r="D22" i="1"/>
  <c r="F23" i="1"/>
  <c r="F24" i="1"/>
  <c r="E24" i="1"/>
  <c r="E35" i="1" l="1"/>
  <c r="F32" i="1" s="1"/>
  <c r="E34" i="1"/>
  <c r="D24" i="1"/>
  <c r="D30" i="1"/>
  <c r="G24" i="1"/>
  <c r="H24" i="1"/>
  <c r="F36" i="1" l="1"/>
  <c r="F29" i="1" s="1"/>
  <c r="F30" i="1" s="1"/>
  <c r="F34" i="1" s="1"/>
  <c r="F35" i="1" s="1"/>
  <c r="G32" i="1" s="1"/>
  <c r="F33" i="1"/>
  <c r="G36" i="1" l="1"/>
  <c r="G29" i="1" s="1"/>
  <c r="G30" i="1" s="1"/>
  <c r="G33" i="1"/>
  <c r="G34" i="1" s="1"/>
  <c r="G35" i="1" s="1"/>
  <c r="H32" i="1" s="1"/>
  <c r="H36" i="1" l="1"/>
  <c r="H29" i="1" s="1"/>
  <c r="H30" i="1" s="1"/>
  <c r="H33" i="1"/>
  <c r="H35" i="1" s="1"/>
  <c r="H34" i="1"/>
</calcChain>
</file>

<file path=xl/sharedStrings.xml><?xml version="1.0" encoding="utf-8"?>
<sst xmlns="http://schemas.openxmlformats.org/spreadsheetml/2006/main" count="38" uniqueCount="36">
  <si>
    <t>FY24</t>
  </si>
  <si>
    <t>Revenue</t>
  </si>
  <si>
    <t>in millions</t>
  </si>
  <si>
    <t>Depriciation</t>
  </si>
  <si>
    <t>Revenue Growth (%)</t>
  </si>
  <si>
    <t>Entry Multiple (x)</t>
  </si>
  <si>
    <t>Exit Multiple (x)</t>
  </si>
  <si>
    <t>Bank Interest Rate (%)</t>
  </si>
  <si>
    <t>Corporate Tax Rate (%)</t>
  </si>
  <si>
    <t>Purchase Price (Enterprise Value)</t>
  </si>
  <si>
    <t>Operating Profit (EBITDA)</t>
  </si>
  <si>
    <t>Bank Debt (Senior Loan)</t>
  </si>
  <si>
    <t>Sponsor Equity (Our Cash)</t>
  </si>
  <si>
    <t>Year 0</t>
  </si>
  <si>
    <t>Year 1</t>
  </si>
  <si>
    <t>Year 2</t>
  </si>
  <si>
    <t>Year 3</t>
  </si>
  <si>
    <t>Year 4</t>
  </si>
  <si>
    <t>Year 5</t>
  </si>
  <si>
    <r>
      <t>EBITDA Margin</t>
    </r>
    <r>
      <rPr>
        <sz val="11"/>
        <color theme="1"/>
        <rFont val="Calibri"/>
        <family val="2"/>
        <scheme val="minor"/>
      </rPr>
      <t xml:space="preserve"> cell</t>
    </r>
    <r>
      <rPr>
        <sz val="11"/>
        <color theme="1"/>
        <rFont val="Calibri"/>
        <family val="2"/>
        <scheme val="minor"/>
      </rPr>
      <t xml:space="preserve">  (%)</t>
    </r>
  </si>
  <si>
    <t>Less:D&amp;A</t>
  </si>
  <si>
    <t>EBIT</t>
  </si>
  <si>
    <t>Less: Capex:</t>
  </si>
  <si>
    <t>Less: Change in NWC</t>
  </si>
  <si>
    <t>Less: Cash Taxes</t>
  </si>
  <si>
    <t>Free Cash Flow (CFADS)</t>
  </si>
  <si>
    <t>Senior Debt - Beginning Balance</t>
  </si>
  <si>
    <t>Less: Mandatory Amortization</t>
  </si>
  <si>
    <t>Less: Optional Cash Sweep</t>
  </si>
  <si>
    <t>Senior Debt - Ending Balance</t>
  </si>
  <si>
    <t>Interest Expense</t>
  </si>
  <si>
    <t>Exit Enterprise Value</t>
  </si>
  <si>
    <t>Less: Remaining Debt</t>
  </si>
  <si>
    <t>Exit Equity</t>
  </si>
  <si>
    <t>Sponsor MOIC</t>
  </si>
  <si>
    <t>Sponsor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</si>
</sst>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70" formatCode="0.0%"/>
    <numFmt numFmtId="176" formatCode="0.00&quot;x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10" fontId="2" fillId="0" borderId="0" xfId="0" applyNumberFormat="1" applyFont="1"/>
    <xf numFmtId="168" fontId="2" fillId="0" borderId="0" xfId="0" applyNumberFormat="1" applyFont="1"/>
    <xf numFmtId="170" fontId="2" fillId="0" borderId="0" xfId="0" applyNumberFormat="1" applyFont="1"/>
    <xf numFmtId="0" fontId="0" fillId="0" borderId="0" xfId="0" applyFont="1"/>
    <xf numFmtId="2" fontId="0" fillId="0" borderId="0" xfId="0" applyNumberFormat="1"/>
    <xf numFmtId="176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3E4B-5470-47A9-96FB-10EB482D0520}">
  <dimension ref="A1:H42"/>
  <sheetViews>
    <sheetView tabSelected="1" topLeftCell="A14" workbookViewId="0">
      <selection activeCell="E39" sqref="E39"/>
    </sheetView>
  </sheetViews>
  <sheetFormatPr defaultRowHeight="14.5" x14ac:dyDescent="0.35"/>
  <cols>
    <col min="1" max="1" width="28.54296875" bestFit="1" customWidth="1"/>
    <col min="2" max="2" width="9.36328125" bestFit="1" customWidth="1"/>
    <col min="4" max="4" width="12.453125" bestFit="1" customWidth="1"/>
  </cols>
  <sheetData>
    <row r="1" spans="1:3" x14ac:dyDescent="0.35">
      <c r="B1" t="s">
        <v>0</v>
      </c>
      <c r="C1" t="s">
        <v>2</v>
      </c>
    </row>
    <row r="2" spans="1:3" x14ac:dyDescent="0.35">
      <c r="A2" t="s">
        <v>1</v>
      </c>
      <c r="B2" s="1">
        <v>27570</v>
      </c>
    </row>
    <row r="3" spans="1:3" x14ac:dyDescent="0.35">
      <c r="A3" t="s">
        <v>10</v>
      </c>
      <c r="B3" s="1">
        <v>4800</v>
      </c>
    </row>
    <row r="4" spans="1:3" x14ac:dyDescent="0.35">
      <c r="A4" t="s">
        <v>3</v>
      </c>
      <c r="B4" s="1">
        <v>500</v>
      </c>
      <c r="C4" s="1"/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A7" t="s">
        <v>4</v>
      </c>
      <c r="B7" s="2">
        <v>0.1</v>
      </c>
    </row>
    <row r="8" spans="1:3" x14ac:dyDescent="0.35">
      <c r="A8" s="5" t="s">
        <v>19</v>
      </c>
      <c r="B8" s="2">
        <v>0.17399999999999999</v>
      </c>
    </row>
    <row r="9" spans="1:3" x14ac:dyDescent="0.35">
      <c r="A9" t="s">
        <v>5</v>
      </c>
      <c r="B9" s="3">
        <v>15</v>
      </c>
    </row>
    <row r="10" spans="1:3" x14ac:dyDescent="0.35">
      <c r="A10" t="s">
        <v>6</v>
      </c>
      <c r="B10" s="3">
        <v>16</v>
      </c>
    </row>
    <row r="11" spans="1:3" x14ac:dyDescent="0.35">
      <c r="A11" t="s">
        <v>7</v>
      </c>
      <c r="B11" s="4">
        <v>9.5000000000000001E-2</v>
      </c>
    </row>
    <row r="12" spans="1:3" x14ac:dyDescent="0.35">
      <c r="A12" t="s">
        <v>8</v>
      </c>
      <c r="B12" s="4">
        <v>0.252</v>
      </c>
    </row>
    <row r="15" spans="1:3" x14ac:dyDescent="0.35">
      <c r="A15" t="s">
        <v>9</v>
      </c>
      <c r="B15">
        <f>B3*B9</f>
        <v>72000</v>
      </c>
    </row>
    <row r="16" spans="1:3" x14ac:dyDescent="0.35">
      <c r="A16" t="s">
        <v>11</v>
      </c>
      <c r="B16">
        <f>B3*3.5</f>
        <v>16800</v>
      </c>
    </row>
    <row r="17" spans="1:8" x14ac:dyDescent="0.35">
      <c r="A17" t="s">
        <v>12</v>
      </c>
      <c r="B17" s="6">
        <f>B15-B16</f>
        <v>55200</v>
      </c>
    </row>
    <row r="20" spans="1:8" x14ac:dyDescent="0.35"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</row>
    <row r="21" spans="1:8" x14ac:dyDescent="0.35">
      <c r="A21" t="s">
        <v>1</v>
      </c>
      <c r="C21" s="1">
        <f>B2</f>
        <v>27570</v>
      </c>
      <c r="D21">
        <f>C21*(1+$B$7)</f>
        <v>30327.000000000004</v>
      </c>
      <c r="E21">
        <f t="shared" ref="E21:H21" si="0">D21*(1+$B$7)</f>
        <v>33359.700000000004</v>
      </c>
      <c r="F21">
        <f t="shared" si="0"/>
        <v>36695.670000000006</v>
      </c>
      <c r="G21">
        <f t="shared" si="0"/>
        <v>40365.237000000008</v>
      </c>
      <c r="H21">
        <f t="shared" si="0"/>
        <v>44401.760700000013</v>
      </c>
    </row>
    <row r="22" spans="1:8" x14ac:dyDescent="0.35">
      <c r="A22" t="s">
        <v>10</v>
      </c>
      <c r="C22" s="1">
        <f>B3</f>
        <v>4800</v>
      </c>
      <c r="D22" s="6">
        <f>D21*($B$8)</f>
        <v>5276.8980000000001</v>
      </c>
      <c r="E22" s="6">
        <f t="shared" ref="E22:H22" si="1">E21*($B$8)</f>
        <v>5804.5878000000002</v>
      </c>
      <c r="F22" s="6">
        <f t="shared" si="1"/>
        <v>6385.0465800000002</v>
      </c>
      <c r="G22" s="6">
        <f t="shared" si="1"/>
        <v>7023.5512380000009</v>
      </c>
      <c r="H22" s="6">
        <f t="shared" si="1"/>
        <v>7725.9063618000018</v>
      </c>
    </row>
    <row r="23" spans="1:8" x14ac:dyDescent="0.35">
      <c r="A23" t="s">
        <v>20</v>
      </c>
      <c r="D23" s="6">
        <f>D21*2.8%</f>
        <v>849.15600000000006</v>
      </c>
      <c r="E23" s="6">
        <f t="shared" ref="E23:H23" si="2">E21*2.8%</f>
        <v>934.07159999999999</v>
      </c>
      <c r="F23" s="6">
        <f t="shared" si="2"/>
        <v>1027.47876</v>
      </c>
      <c r="G23" s="6">
        <f t="shared" si="2"/>
        <v>1130.2266360000001</v>
      </c>
      <c r="H23" s="6">
        <f t="shared" si="2"/>
        <v>1243.2492996000003</v>
      </c>
    </row>
    <row r="24" spans="1:8" x14ac:dyDescent="0.35">
      <c r="A24" t="s">
        <v>21</v>
      </c>
      <c r="D24" s="6">
        <f>D22-D23</f>
        <v>4427.7420000000002</v>
      </c>
      <c r="E24" s="6">
        <f t="shared" ref="E24:H24" si="3">E22-E23</f>
        <v>4870.5162</v>
      </c>
      <c r="F24" s="6">
        <f t="shared" si="3"/>
        <v>5357.5678200000002</v>
      </c>
      <c r="G24" s="6">
        <f t="shared" si="3"/>
        <v>5893.3246020000006</v>
      </c>
      <c r="H24" s="6">
        <f t="shared" si="3"/>
        <v>6482.6570622000017</v>
      </c>
    </row>
    <row r="25" spans="1:8" x14ac:dyDescent="0.35">
      <c r="A25" t="s">
        <v>22</v>
      </c>
      <c r="D25">
        <f>D21*3%</f>
        <v>909.81000000000006</v>
      </c>
      <c r="E25">
        <f t="shared" ref="E25:H25" si="4">E21*3%</f>
        <v>1000.7910000000001</v>
      </c>
      <c r="F25">
        <f t="shared" si="4"/>
        <v>1100.8701000000001</v>
      </c>
      <c r="G25">
        <f t="shared" si="4"/>
        <v>1210.9571100000003</v>
      </c>
      <c r="H25">
        <f t="shared" si="4"/>
        <v>1332.0528210000004</v>
      </c>
    </row>
    <row r="26" spans="1:8" x14ac:dyDescent="0.35">
      <c r="A26" t="s">
        <v>23</v>
      </c>
      <c r="D26" s="6">
        <f>(D21-C21)*6%</f>
        <v>165.42000000000021</v>
      </c>
      <c r="E26" s="6">
        <f t="shared" ref="E26:H26" si="5">(E21-D21)*6%</f>
        <v>181.96200000000005</v>
      </c>
      <c r="F26" s="6">
        <f t="shared" si="5"/>
        <v>200.15820000000005</v>
      </c>
      <c r="G26" s="6">
        <f t="shared" si="5"/>
        <v>220.17402000000016</v>
      </c>
      <c r="H26" s="6">
        <f t="shared" si="5"/>
        <v>242.1914220000003</v>
      </c>
    </row>
    <row r="29" spans="1:8" x14ac:dyDescent="0.35">
      <c r="A29" t="s">
        <v>24</v>
      </c>
      <c r="D29" s="6">
        <f>(D24-D36)*$B$12</f>
        <v>713.59898400000009</v>
      </c>
      <c r="E29" s="6">
        <f t="shared" ref="E29:H29" si="6">(E24-E36)*$B$12</f>
        <v>908.68245464303993</v>
      </c>
      <c r="F29" s="6">
        <f t="shared" si="6"/>
        <v>1120.3123300308857</v>
      </c>
      <c r="G29" s="6">
        <f t="shared" si="6"/>
        <v>1350.2141595371463</v>
      </c>
      <c r="H29" s="6">
        <f t="shared" si="6"/>
        <v>1600.2843499137473</v>
      </c>
    </row>
    <row r="30" spans="1:8" x14ac:dyDescent="0.35">
      <c r="A30" t="s">
        <v>25</v>
      </c>
      <c r="D30" s="6">
        <f>D22-D25-D26-D29</f>
        <v>3488.0690159999995</v>
      </c>
      <c r="E30" s="6">
        <f t="shared" ref="E30:H30" si="7">E22-E25-E26-E29</f>
        <v>3713.1523453569598</v>
      </c>
      <c r="F30" s="6">
        <f t="shared" si="7"/>
        <v>3963.7059499691145</v>
      </c>
      <c r="G30" s="6">
        <f t="shared" si="7"/>
        <v>4242.2059484628535</v>
      </c>
      <c r="H30" s="6">
        <f t="shared" si="7"/>
        <v>4551.3777688862547</v>
      </c>
    </row>
    <row r="32" spans="1:8" x14ac:dyDescent="0.35">
      <c r="A32" t="s">
        <v>26</v>
      </c>
      <c r="D32">
        <f>C35</f>
        <v>16800</v>
      </c>
      <c r="E32" s="6">
        <f>D35</f>
        <v>13311.930984000001</v>
      </c>
      <c r="F32" s="6">
        <f t="shared" ref="F32:H32" si="8">E35</f>
        <v>9598.7786386430416</v>
      </c>
      <c r="G32" s="6">
        <f t="shared" si="8"/>
        <v>5635.0726886739267</v>
      </c>
      <c r="H32" s="6">
        <f t="shared" si="8"/>
        <v>1392.8667402110732</v>
      </c>
    </row>
    <row r="33" spans="1:8" x14ac:dyDescent="0.35">
      <c r="A33" t="s">
        <v>27</v>
      </c>
      <c r="D33" s="6">
        <f>MIN($B$16*10%,D32)</f>
        <v>1680</v>
      </c>
      <c r="E33" s="6">
        <f t="shared" ref="E33:H33" si="9">MIN($B$16*10%,E32)</f>
        <v>1680</v>
      </c>
      <c r="F33" s="6">
        <f t="shared" si="9"/>
        <v>1680</v>
      </c>
      <c r="G33" s="6">
        <f t="shared" si="9"/>
        <v>1680</v>
      </c>
      <c r="H33" s="6">
        <f t="shared" si="9"/>
        <v>1392.8667402110732</v>
      </c>
    </row>
    <row r="34" spans="1:8" x14ac:dyDescent="0.35">
      <c r="A34" t="s">
        <v>28</v>
      </c>
      <c r="D34" s="6">
        <f>MIN(D30-D33,D32-D33)</f>
        <v>1808.0690159999995</v>
      </c>
      <c r="E34" s="6">
        <f t="shared" ref="E34:H34" si="10">MIN(E30-E33,E32-E33)</f>
        <v>2033.1523453569598</v>
      </c>
      <c r="F34" s="6">
        <f t="shared" si="10"/>
        <v>2283.7059499691145</v>
      </c>
      <c r="G34" s="6">
        <f t="shared" si="10"/>
        <v>2562.2059484628535</v>
      </c>
      <c r="H34" s="6">
        <f t="shared" si="10"/>
        <v>0</v>
      </c>
    </row>
    <row r="35" spans="1:8" x14ac:dyDescent="0.35">
      <c r="A35" t="s">
        <v>29</v>
      </c>
      <c r="C35">
        <f>B16</f>
        <v>16800</v>
      </c>
      <c r="D35" s="6">
        <f>D32-D33-D34</f>
        <v>13311.930984000001</v>
      </c>
      <c r="E35" s="6">
        <f t="shared" ref="E35:H35" si="11">E32-E33-E34</f>
        <v>9598.7786386430416</v>
      </c>
      <c r="F35" s="6">
        <f t="shared" si="11"/>
        <v>5635.0726886739267</v>
      </c>
      <c r="G35" s="6">
        <f t="shared" si="11"/>
        <v>1392.8667402110732</v>
      </c>
      <c r="H35" s="6">
        <f t="shared" si="11"/>
        <v>0</v>
      </c>
    </row>
    <row r="36" spans="1:8" x14ac:dyDescent="0.35">
      <c r="A36" t="s">
        <v>30</v>
      </c>
      <c r="D36">
        <f>D32*$B$11</f>
        <v>1596</v>
      </c>
      <c r="E36" s="6">
        <f t="shared" ref="E36:H36" si="12">E32*$B$11</f>
        <v>1264.6334434800001</v>
      </c>
      <c r="F36" s="6">
        <f t="shared" si="12"/>
        <v>911.88397067108895</v>
      </c>
      <c r="G36" s="6">
        <f t="shared" si="12"/>
        <v>535.33190542402303</v>
      </c>
      <c r="H36" s="6">
        <f t="shared" si="12"/>
        <v>132.32234032005195</v>
      </c>
    </row>
    <row r="38" spans="1:8" x14ac:dyDescent="0.35">
      <c r="A38" t="s">
        <v>31</v>
      </c>
      <c r="B38" s="6">
        <f>H22*B10</f>
        <v>123614.50178880003</v>
      </c>
    </row>
    <row r="39" spans="1:8" x14ac:dyDescent="0.35">
      <c r="A39" t="s">
        <v>32</v>
      </c>
      <c r="B39" s="6">
        <f>H35</f>
        <v>0</v>
      </c>
    </row>
    <row r="40" spans="1:8" x14ac:dyDescent="0.35">
      <c r="A40" s="5" t="s">
        <v>33</v>
      </c>
      <c r="B40" s="6">
        <f>B38-B39</f>
        <v>123614.50178880003</v>
      </c>
    </row>
    <row r="41" spans="1:8" x14ac:dyDescent="0.35">
      <c r="A41" s="5" t="s">
        <v>34</v>
      </c>
      <c r="B41" s="7">
        <f>B40/B17</f>
        <v>2.2393931483478267</v>
      </c>
    </row>
    <row r="42" spans="1:8" x14ac:dyDescent="0.35">
      <c r="A42" t="s">
        <v>35</v>
      </c>
      <c r="B42" s="8">
        <f>(B41^(1/5)-1)</f>
        <v>0.1749680816210053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xerxes naik</dc:creator>
  <cp:lastModifiedBy>xerxes naik</cp:lastModifiedBy>
  <dcterms:created xsi:type="dcterms:W3CDTF">2026-06-17T04:07:13Z</dcterms:created>
  <dcterms:modified xsi:type="dcterms:W3CDTF">2026-06-17T16:32:27Z</dcterms:modified>
</cp:coreProperties>
</file>